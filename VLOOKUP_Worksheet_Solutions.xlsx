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cuments\"/>
    </mc:Choice>
  </mc:AlternateContent>
  <xr:revisionPtr revIDLastSave="0" documentId="8_{6A614892-9DA9-4865-B28B-FC2C72E380D4}" xr6:coauthVersionLast="37" xr6:coauthVersionMax="37" xr10:uidLastSave="{00000000-0000-0000-0000-000000000000}"/>
  <bookViews>
    <workbookView xWindow="0" yWindow="0" windowWidth="23040" windowHeight="8940" xr2:uid="{00000000-000D-0000-FFFF-FFFF00000000}"/>
  </bookViews>
  <sheets>
    <sheet name="Products" sheetId="1" r:id="rId1"/>
    <sheet name="Orders" sheetId="2" r:id="rId2"/>
    <sheet name="Analysis" sheetId="3" r:id="rId3"/>
    <sheet name="Product Summary" sheetId="4" r:id="rId4"/>
  </sheets>
  <calcPr calcId="179021"/>
</workbook>
</file>

<file path=xl/calcChain.xml><?xml version="1.0" encoding="utf-8"?>
<calcChain xmlns="http://schemas.openxmlformats.org/spreadsheetml/2006/main">
  <c r="E7" i="2" l="1"/>
  <c r="G7" i="2" s="1"/>
  <c r="E6" i="2"/>
  <c r="F6" i="2" s="1"/>
  <c r="C3" i="4"/>
  <c r="C4" i="4"/>
  <c r="C5" i="4"/>
  <c r="C6" i="4"/>
  <c r="C7" i="4"/>
  <c r="C2" i="4"/>
  <c r="B3" i="4"/>
  <c r="B4" i="4"/>
  <c r="B5" i="4"/>
  <c r="B6" i="4"/>
  <c r="B7" i="4"/>
  <c r="B2" i="4"/>
  <c r="A3" i="4"/>
  <c r="A4" i="4"/>
  <c r="A5" i="4"/>
  <c r="A6" i="4"/>
  <c r="A7" i="4"/>
  <c r="A2" i="4"/>
  <c r="E5" i="2"/>
  <c r="F5" i="2" s="1"/>
  <c r="D6" i="2"/>
  <c r="B2" i="3"/>
  <c r="G3" i="2"/>
  <c r="G4" i="2"/>
  <c r="G2" i="2"/>
  <c r="D7" i="2"/>
  <c r="F3" i="2"/>
  <c r="F4" i="2"/>
  <c r="F2" i="2"/>
  <c r="H3" i="2"/>
  <c r="H4" i="2"/>
  <c r="H5" i="2"/>
  <c r="H6" i="2"/>
  <c r="H7" i="2"/>
  <c r="H2" i="2"/>
  <c r="E3" i="2"/>
  <c r="E4" i="2"/>
  <c r="E2" i="2"/>
  <c r="D3" i="2"/>
  <c r="D4" i="2"/>
  <c r="D5" i="2"/>
  <c r="D2" i="2"/>
  <c r="G5" i="2" l="1"/>
  <c r="G6" i="2"/>
  <c r="F7" i="2"/>
</calcChain>
</file>

<file path=xl/sharedStrings.xml><?xml version="1.0" encoding="utf-8"?>
<sst xmlns="http://schemas.openxmlformats.org/spreadsheetml/2006/main" count="32" uniqueCount="31">
  <si>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</si>
  <si>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</si>
  <si>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</si>
  <si>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</si>
  <si>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</si>
  <si>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</si>
  <si>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</si>
  <si>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</si>
  <si>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</si>
  <si>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</si>
  <si>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</si>
  <si>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</si>
  <si>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UnitPrice</t>
  </si>
  <si>
    <t>TotalPrice</t>
  </si>
  <si>
    <t>DiscountedPrice</t>
  </si>
  <si>
    <t>Exists?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</si>
  <si>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</si>
  <si>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</si>
  <si>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</si>
  <si>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</si>
  <si>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</si>
  <si>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</si>
  <si>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</si>
  <si>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t>Task</t>
  </si>
  <si>
    <t>Maximum order value</t>
  </si>
  <si>
    <t>Result</t>
  </si>
  <si>
    <t>Product not ordered</t>
  </si>
  <si>
    <t>None,All product have been ordered</t>
  </si>
  <si>
    <t>Product_id</t>
  </si>
  <si>
    <t>Product_name</t>
  </si>
  <si>
    <t>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</si>
</sst>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7" sqref="B7"/>
    </sheetView>
  </sheetViews>
  <sheetFormatPr defaultRowHeight="14.4" x14ac:dyDescent="0.3"/>
  <cols>
    <col min="1" max="2" width="14" customWidth="1"/>
    <col min="3" max="3" width="10" customWidth="1"/>
    <col min="4" max="4" width="16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101</v>
      </c>
      <c r="B2" t="s">
        <v>3</v>
      </c>
      <c r="C2">
        <v>120</v>
      </c>
    </row>
    <row r="3" spans="1:3" x14ac:dyDescent="0.3">
      <c r="A3">
        <v>102</v>
      </c>
      <c r="B3" t="s">
        <v>4</v>
      </c>
      <c r="C3">
        <v>150</v>
      </c>
    </row>
    <row r="4" spans="1:3" x14ac:dyDescent="0.3">
      <c r="A4">
        <v>103</v>
      </c>
      <c r="B4" t="s">
        <v>5</v>
      </c>
      <c r="C4">
        <v>200</v>
      </c>
    </row>
    <row r="5" spans="1:3" x14ac:dyDescent="0.3">
      <c r="A5">
        <v>104</v>
      </c>
      <c r="B5" t="s">
        <v>6</v>
      </c>
      <c r="C5">
        <v>90</v>
      </c>
    </row>
    <row r="6" spans="1:3" x14ac:dyDescent="0.3">
      <c r="A6">
        <v>105</v>
      </c>
      <c r="B6" t="s">
        <v>7</v>
      </c>
      <c r="C6">
        <v>220</v>
      </c>
    </row>
    <row r="7" spans="1:3" x14ac:dyDescent="0.3">
      <c r="A7">
        <v>106</v>
      </c>
      <c r="B7" t="s">
        <v>8</v>
      </c>
      <c r="C7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topLeftCell="E1" workbookViewId="0">
      <selection activeCell="G8" sqref="G8"/>
    </sheetView>
  </sheetViews>
  <sheetFormatPr defaultRowHeight="14.4" x14ac:dyDescent="0.3"/>
  <cols>
    <col min="1" max="1" width="12" customWidth="1"/>
    <col min="2" max="2" width="14" customWidth="1"/>
    <col min="3" max="3" width="13" customWidth="1"/>
    <col min="4" max="5" width="44" customWidth="1"/>
    <col min="6" max="6" width="15" customWidth="1"/>
    <col min="7" max="7" width="20" customWidth="1"/>
    <col min="8" max="8" width="75" customWidth="1"/>
  </cols>
  <sheetData>
    <row r="1" spans="1:8" x14ac:dyDescent="0.3">
      <c r="A1" s="1" t="s">
        <v>9</v>
      </c>
      <c r="B1" s="1" t="s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3">
      <c r="A2">
        <v>1</v>
      </c>
      <c r="B2">
        <v>101</v>
      </c>
      <c r="C2">
        <v>2</v>
      </c>
      <c r="D2" t="str">
        <f>VLOOKUP(B2,Products!A2:C7,2,FALSE)</f>
        <v>Product A</v>
      </c>
      <c r="E2">
        <f>VLOOKUP(B2:B7,Products!A2:C7,3,FALSE)</f>
        <v>120</v>
      </c>
      <c r="F2">
        <f>C2*E2</f>
        <v>240</v>
      </c>
      <c r="G2">
        <f>E2-(E2*10%)</f>
        <v>108</v>
      </c>
      <c r="H2" t="str">
        <f>IF(ISNA(VLOOKUP(B2,Products!$A$2:$C$7,1,FALSE)),"Not Found","Exists")</f>
        <v>Exists</v>
      </c>
    </row>
    <row r="3" spans="1:8" x14ac:dyDescent="0.3">
      <c r="A3">
        <v>2</v>
      </c>
      <c r="B3">
        <v>103</v>
      </c>
      <c r="C3">
        <v>1</v>
      </c>
      <c r="D3" t="str">
        <f>VLOOKUP(B3,Products!A3:C8,2,FALSE)</f>
        <v>Product C</v>
      </c>
      <c r="E3">
        <f>VLOOKUP(B3:B8,Products!A3:C8,3,FALSE)</f>
        <v>200</v>
      </c>
      <c r="F3">
        <f t="shared" ref="F3:F7" si="0">C3*E3</f>
        <v>200</v>
      </c>
      <c r="G3">
        <f t="shared" ref="G3:G7" si="1">E3-(E3*10%)</f>
        <v>180</v>
      </c>
      <c r="H3" t="str">
        <f>IF(ISNA(VLOOKUP(B3,Products!$A$2:$C$7,1,FALSE)),"Not Found","Exists")</f>
        <v>Exists</v>
      </c>
    </row>
    <row r="4" spans="1:8" ht="13.8" customHeight="1" x14ac:dyDescent="0.3">
      <c r="A4">
        <v>3</v>
      </c>
      <c r="B4">
        <v>105</v>
      </c>
      <c r="C4">
        <v>4</v>
      </c>
      <c r="D4" t="str">
        <f>VLOOKUP(B4,Products!A4:C9,2,FALSE)</f>
        <v>Product E</v>
      </c>
      <c r="E4">
        <f>VLOOKUP(B4:B9,Products!A4:C9,3,FALSE)</f>
        <v>220</v>
      </c>
      <c r="F4">
        <f t="shared" si="0"/>
        <v>880</v>
      </c>
      <c r="G4">
        <f t="shared" si="1"/>
        <v>198</v>
      </c>
      <c r="H4" t="str">
        <f>IF(ISNA(VLOOKUP(B4,Products!$A$2:$C$7,1,FALSE)),"Not Found","Exists")</f>
        <v>Exists</v>
      </c>
    </row>
    <row r="5" spans="1:8" x14ac:dyDescent="0.3">
      <c r="A5">
        <v>4</v>
      </c>
      <c r="B5">
        <v>106</v>
      </c>
      <c r="C5">
        <v>3</v>
      </c>
      <c r="D5" t="str">
        <f>VLOOKUP(B5,Products!A5:C10,2,FALSE)</f>
        <v>Product F</v>
      </c>
      <c r="E5">
        <f>VLOOKUP(B5:B10,Products!A5:C10,3,FALSE)</f>
        <v>130</v>
      </c>
      <c r="F5">
        <f t="shared" si="0"/>
        <v>390</v>
      </c>
      <c r="G5">
        <f t="shared" si="1"/>
        <v>117</v>
      </c>
      <c r="H5" t="str">
        <f>IF(ISNA(VLOOKUP(B5,Products!$A$2:$C$7,1,FALSE)),"Not Found","Exists")</f>
        <v>Exists</v>
      </c>
    </row>
    <row r="6" spans="1:8" x14ac:dyDescent="0.3">
      <c r="A6">
        <v>5</v>
      </c>
      <c r="B6">
        <v>102</v>
      </c>
      <c r="C6">
        <v>5</v>
      </c>
      <c r="D6" t="str">
        <f>VLOOKUP(B6,Products!A2:C7,2,FALSE)</f>
        <v>Product B</v>
      </c>
      <c r="E6">
        <f>VLOOKUP(B2,Products!A:C,3,FALSE)</f>
        <v>120</v>
      </c>
      <c r="F6">
        <f>C6*E6</f>
        <v>600</v>
      </c>
      <c r="G6">
        <f t="shared" si="1"/>
        <v>108</v>
      </c>
      <c r="H6" t="str">
        <f>IF(ISNA(VLOOKUP(B6,Products!$A$2:$C$7,1,FALSE)),"Not Found","Exists")</f>
        <v>Exists</v>
      </c>
    </row>
    <row r="7" spans="1:8" x14ac:dyDescent="0.3">
      <c r="A7">
        <v>6</v>
      </c>
      <c r="B7">
        <v>104</v>
      </c>
      <c r="C7">
        <v>6</v>
      </c>
      <c r="D7" t="str">
        <f>VLOOKUP(B7,Products!A3:C8,2,FALSE)</f>
        <v>Product D</v>
      </c>
      <c r="E7">
        <f>VLOOKUP(B3,Products!A:C,3,FALSE)</f>
        <v>200</v>
      </c>
      <c r="F7">
        <f t="shared" si="0"/>
        <v>1200</v>
      </c>
      <c r="G7">
        <f t="shared" si="1"/>
        <v>180</v>
      </c>
      <c r="H7" t="str">
        <f>IF(ISNA(VLOOKUP(B7,Products!$A$2:$C$7,1,FALSE)),"Not Found","Exists")</f>
        <v>Exists</v>
      </c>
    </row>
    <row r="10" spans="1:8" x14ac:dyDescent="0.3">
      <c r="A10" t="s">
        <v>16</v>
      </c>
    </row>
    <row r="11" spans="1:8" x14ac:dyDescent="0.3">
      <c r="A11" t="s">
        <v>17</v>
      </c>
    </row>
    <row r="12" spans="1:8" x14ac:dyDescent="0.3">
      <c r="A12" t="s">
        <v>18</v>
      </c>
    </row>
    <row r="13" spans="1:8" x14ac:dyDescent="0.3">
      <c r="A13" t="s">
        <v>19</v>
      </c>
    </row>
    <row r="14" spans="1:8" x14ac:dyDescent="0.3">
      <c r="A14" t="s">
        <v>20</v>
      </c>
    </row>
    <row r="15" spans="1:8" x14ac:dyDescent="0.3">
      <c r="A15" t="s">
        <v>21</v>
      </c>
    </row>
    <row r="16" spans="1:8" x14ac:dyDescent="0.3">
      <c r="A16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4" sqref="B4"/>
    </sheetView>
  </sheetViews>
  <sheetFormatPr defaultRowHeight="14.4" x14ac:dyDescent="0.3"/>
  <cols>
    <col min="1" max="1" width="42" customWidth="1"/>
    <col min="2" max="2" width="31.6640625" customWidth="1"/>
  </cols>
  <sheetData>
    <row r="1" spans="1:2" x14ac:dyDescent="0.3">
      <c r="A1" s="1" t="s">
        <v>23</v>
      </c>
      <c r="B1" s="1" t="s">
        <v>25</v>
      </c>
    </row>
    <row r="2" spans="1:2" x14ac:dyDescent="0.3">
      <c r="A2" t="s">
        <v>24</v>
      </c>
      <c r="B2">
        <f>MAX(Analysis!F2:F7)</f>
        <v>0</v>
      </c>
    </row>
    <row r="3" spans="1:2" x14ac:dyDescent="0.3">
      <c r="A3" t="s">
        <v>26</v>
      </c>
      <c r="B3" t="s">
        <v>27</v>
      </c>
    </row>
    <row r="4" spans="1:2" x14ac:dyDescent="0.3">
      <c r="A4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B10" sqref="B10"/>
    </sheetView>
  </sheetViews>
  <sheetFormatPr defaultRowHeight="14.4" x14ac:dyDescent="0.3"/>
  <cols>
    <col min="1" max="2" width="17" customWidth="1"/>
    <col min="3" max="3" width="37" customWidth="1"/>
  </cols>
  <sheetData>
    <row r="1" spans="1:3" x14ac:dyDescent="0.3">
      <c r="A1" s="1" t="s">
        <v>28</v>
      </c>
      <c r="B1" s="1" t="s">
        <v>29</v>
      </c>
      <c r="C1" s="1" t="s">
        <v>30</v>
      </c>
    </row>
    <row r="2" spans="1:3" x14ac:dyDescent="0.3">
      <c r="A2">
        <f>Products!A2</f>
        <v>101</v>
      </c>
      <c r="B2" t="str">
        <f>Products!B2</f>
        <v>Product A</v>
      </c>
      <c r="C2">
        <f>SUMIF(Orders!$B$2:$B$7,A2,Orders!$C$2:$C$7)</f>
        <v>2</v>
      </c>
    </row>
    <row r="3" spans="1:3" x14ac:dyDescent="0.3">
      <c r="A3">
        <f>Products!A3</f>
        <v>102</v>
      </c>
      <c r="B3" t="str">
        <f>Products!B3</f>
        <v>Product B</v>
      </c>
      <c r="C3">
        <f>SUMIF(Orders!$B$2:$B$7,A3,Orders!$C$2:$C$7)</f>
        <v>5</v>
      </c>
    </row>
    <row r="4" spans="1:3" x14ac:dyDescent="0.3">
      <c r="A4">
        <f>Products!A4</f>
        <v>103</v>
      </c>
      <c r="B4" t="str">
        <f>Products!B4</f>
        <v>Product C</v>
      </c>
      <c r="C4">
        <f>SUMIF(Orders!$B$2:$B$7,A4,Orders!$C$2:$C$7)</f>
        <v>1</v>
      </c>
    </row>
    <row r="5" spans="1:3" x14ac:dyDescent="0.3">
      <c r="A5">
        <f>Products!A5</f>
        <v>104</v>
      </c>
      <c r="B5" t="str">
        <f>Products!B5</f>
        <v>Product D</v>
      </c>
      <c r="C5">
        <f>SUMIF(Orders!$B$2:$B$7,A5,Orders!$C$2:$C$7)</f>
        <v>6</v>
      </c>
    </row>
    <row r="6" spans="1:3" x14ac:dyDescent="0.3">
      <c r="A6">
        <f>Products!A6</f>
        <v>105</v>
      </c>
      <c r="B6" t="str">
        <f>Products!B6</f>
        <v>Product E</v>
      </c>
      <c r="C6">
        <f>SUMIF(Orders!$B$2:$B$7,A6,Orders!$C$2:$C$7)</f>
        <v>4</v>
      </c>
    </row>
    <row r="7" spans="1:3" x14ac:dyDescent="0.3">
      <c r="A7">
        <f>Products!A7</f>
        <v>106</v>
      </c>
      <c r="B7" t="str">
        <f>Products!B7</f>
        <v>Product F</v>
      </c>
      <c r="C7">
        <f>SUMIF(Orders!$B$2:$B$7,A7,Orders!$C$2:$C$7)</f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Orders</vt:lpstr>
      <vt:lpstr>Analysis</vt:lpstr>
      <vt:lpstr>Product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2026-05-18T03:48:30Z</dcterms:created>
  <dcterms:modified xsi:type="dcterms:W3CDTF">2026-05-18T07:08:09Z</dcterms:modified>
</cp:coreProperties>
</file>